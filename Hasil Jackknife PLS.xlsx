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Jackknife PLS\"/>
    </mc:Choice>
  </mc:AlternateContent>
  <xr:revisionPtr revIDLastSave="0" documentId="13_ncr:1_{D23A2CCE-4EFC-4531-A50E-CC04B07C24D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ef" sheetId="1" r:id="rId1"/>
    <sheet name="Loading" sheetId="4" r:id="rId2"/>
    <sheet name="Weight" sheetId="3" r:id="rId3"/>
    <sheet name="R and Q Squar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8" i="1"/>
  <c r="U28" i="1" s="1"/>
  <c r="T29" i="1"/>
  <c r="U29" i="1" s="1"/>
  <c r="T27" i="1"/>
  <c r="U27" i="1" s="1"/>
  <c r="T26" i="1"/>
  <c r="U26" i="1" s="1"/>
  <c r="T25" i="1"/>
  <c r="U25" i="1" s="1"/>
  <c r="T24" i="1"/>
  <c r="U24" i="1" s="1"/>
  <c r="T22" i="1"/>
  <c r="U22" i="1" s="1"/>
  <c r="T23" i="1"/>
  <c r="U23" i="1" s="1"/>
  <c r="T21" i="1"/>
  <c r="U21" i="1" s="1"/>
  <c r="T20" i="1"/>
  <c r="U20" i="1" s="1"/>
  <c r="T19" i="1"/>
  <c r="U19" i="1" s="1"/>
  <c r="T18" i="1"/>
  <c r="U18" i="1" s="1"/>
  <c r="T17" i="1"/>
  <c r="U17" i="1" s="1"/>
</calcChain>
</file>

<file path=xl/sharedStrings.xml><?xml version="1.0" encoding="utf-8"?>
<sst xmlns="http://schemas.openxmlformats.org/spreadsheetml/2006/main" count="184" uniqueCount="61">
  <si>
    <t>Parameter</t>
  </si>
  <si>
    <t>SE</t>
  </si>
  <si>
    <t>Thit</t>
  </si>
  <si>
    <t>Pvalue</t>
  </si>
  <si>
    <t>X1 -&gt; X2</t>
  </si>
  <si>
    <t>X1 -&gt; X3</t>
  </si>
  <si>
    <t>X2 -&gt; X3</t>
  </si>
  <si>
    <t>X1 -&gt; X4</t>
  </si>
  <si>
    <t>X2 -&gt; X4</t>
  </si>
  <si>
    <t>X3 -&gt; X4</t>
  </si>
  <si>
    <t>X1 -&gt; X5</t>
  </si>
  <si>
    <t>X2 -&gt; X5</t>
  </si>
  <si>
    <t>X3 -&gt; X5</t>
  </si>
  <si>
    <t>X4 -&gt; X5</t>
  </si>
  <si>
    <t>X1 -&gt; Y</t>
  </si>
  <si>
    <t>X2 -&gt; Y</t>
  </si>
  <si>
    <t>X3 -&gt; Y</t>
  </si>
  <si>
    <t>X4 -&gt; Y</t>
  </si>
  <si>
    <t>X5 -&gt; Y</t>
  </si>
  <si>
    <t>Jalur</t>
  </si>
  <si>
    <t>Koefisien</t>
  </si>
  <si>
    <t>X1</t>
  </si>
  <si>
    <t>X2</t>
  </si>
  <si>
    <t>X3</t>
  </si>
  <si>
    <t>X4</t>
  </si>
  <si>
    <t>X5</t>
  </si>
  <si>
    <t>Y</t>
  </si>
  <si>
    <t>Ke</t>
  </si>
  <si>
    <t>Dari</t>
  </si>
  <si>
    <t>Pengaruh Langsung</t>
  </si>
  <si>
    <t>Pengaruh Tidak Langsung</t>
  </si>
  <si>
    <t>Pengaruh Total</t>
  </si>
  <si>
    <t>Melalui</t>
  </si>
  <si>
    <t>Variables</t>
  </si>
  <si>
    <t>R2</t>
  </si>
  <si>
    <t>Q2</t>
  </si>
  <si>
    <t>Kemiskinan</t>
  </si>
  <si>
    <t>Ekonomi</t>
  </si>
  <si>
    <t>SDM Kesehatan</t>
  </si>
  <si>
    <t>Fasilitas Pelayanan Kesehatan</t>
  </si>
  <si>
    <t>Kasus Campak</t>
  </si>
  <si>
    <t>weight</t>
  </si>
  <si>
    <t>Y1</t>
  </si>
  <si>
    <t>Y2</t>
  </si>
  <si>
    <t>Y3</t>
  </si>
  <si>
    <t>X11</t>
  </si>
  <si>
    <t>X12</t>
  </si>
  <si>
    <t>X13</t>
  </si>
  <si>
    <t>X21</t>
  </si>
  <si>
    <t>X22</t>
  </si>
  <si>
    <t>X23</t>
  </si>
  <si>
    <t>X31</t>
  </si>
  <si>
    <t>X32</t>
  </si>
  <si>
    <t>X33</t>
  </si>
  <si>
    <t>X41</t>
  </si>
  <si>
    <t>X42</t>
  </si>
  <si>
    <t>X43</t>
  </si>
  <si>
    <t>X51</t>
  </si>
  <si>
    <t>X52</t>
  </si>
  <si>
    <t>X53</t>
  </si>
  <si>
    <t>loading_factor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</si>
</sst>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zoomScaleNormal="100" workbookViewId="0">
      <selection sqref="A1:E16"/>
    </sheetView>
  </sheetViews>
  <sheetFormatPr defaultRowHeight="14.5" x14ac:dyDescent="0.35"/>
  <cols>
    <col min="1" max="1" width="9.7265625" bestFit="1" customWidth="1"/>
    <col min="2" max="3" width="8.81640625" bestFit="1" customWidth="1"/>
    <col min="4" max="4" width="9.26953125" bestFit="1" customWidth="1"/>
    <col min="5" max="5" width="11.90625" bestFit="1" customWidth="1"/>
    <col min="7" max="7" width="4.26953125" bestFit="1" customWidth="1"/>
    <col min="8" max="9" width="2.81640625" bestFit="1" customWidth="1"/>
    <col min="10" max="12" width="6.26953125" bestFit="1" customWidth="1"/>
    <col min="13" max="14" width="6.90625" bestFit="1" customWidth="1"/>
    <col min="16" max="16" width="4.26953125" bestFit="1" customWidth="1"/>
    <col min="17" max="17" width="7" bestFit="1" customWidth="1"/>
    <col min="18" max="18" width="2.81640625" bestFit="1" customWidth="1"/>
    <col min="19" max="19" width="12.90625" customWidth="1"/>
    <col min="20" max="21" width="13.6328125" customWidth="1"/>
  </cols>
  <sheetData>
    <row r="1" spans="1:21" s="1" customFormat="1" ht="29" x14ac:dyDescent="0.35">
      <c r="A1" s="2" t="s">
        <v>19</v>
      </c>
      <c r="B1" s="2" t="s">
        <v>20</v>
      </c>
      <c r="C1" s="2" t="s">
        <v>1</v>
      </c>
      <c r="D1" s="2" t="s">
        <v>2</v>
      </c>
      <c r="E1" s="2" t="s">
        <v>3</v>
      </c>
      <c r="G1" s="9"/>
      <c r="H1" s="9"/>
      <c r="I1" s="7" t="s">
        <v>27</v>
      </c>
      <c r="J1" s="7"/>
      <c r="K1" s="7"/>
      <c r="L1" s="7"/>
      <c r="M1" s="7"/>
      <c r="N1" s="7"/>
      <c r="P1" s="3" t="s">
        <v>28</v>
      </c>
      <c r="Q1" s="3" t="s">
        <v>32</v>
      </c>
      <c r="R1" s="3" t="s">
        <v>27</v>
      </c>
      <c r="S1" s="5" t="s">
        <v>29</v>
      </c>
      <c r="T1" s="5" t="s">
        <v>30</v>
      </c>
      <c r="U1" s="5" t="s">
        <v>31</v>
      </c>
    </row>
    <row r="2" spans="1:21" x14ac:dyDescent="0.35">
      <c r="A2" s="3" t="s">
        <v>4</v>
      </c>
      <c r="B2" s="6">
        <v>0.92726429095624352</v>
      </c>
      <c r="C2" s="6">
        <v>1.844343661587072E-3</v>
      </c>
      <c r="D2" s="6">
        <v>502.76112324875811</v>
      </c>
      <c r="E2" s="6">
        <v>0</v>
      </c>
      <c r="G2" s="9"/>
      <c r="H2" s="9"/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P2" s="3" t="s">
        <v>21</v>
      </c>
      <c r="Q2" s="3"/>
      <c r="R2" s="3" t="s">
        <v>22</v>
      </c>
      <c r="S2" s="6">
        <v>0.92726429095624352</v>
      </c>
      <c r="T2" s="6"/>
      <c r="U2" s="6"/>
    </row>
    <row r="3" spans="1:21" x14ac:dyDescent="0.35">
      <c r="A3" s="3" t="s">
        <v>5</v>
      </c>
      <c r="B3" s="6">
        <v>0.2921449654144409</v>
      </c>
      <c r="C3" s="6">
        <v>6.4881655458062879E-3</v>
      </c>
      <c r="D3" s="6">
        <v>45.027359945103854</v>
      </c>
      <c r="E3" s="6">
        <v>8.2385500198365072E-242</v>
      </c>
      <c r="G3" s="8" t="s">
        <v>28</v>
      </c>
      <c r="H3" s="3" t="s">
        <v>21</v>
      </c>
      <c r="I3" s="3"/>
      <c r="J3" s="6">
        <v>0.92726429095624352</v>
      </c>
      <c r="K3" s="6">
        <v>0.2921449654144409</v>
      </c>
      <c r="L3" s="6">
        <v>6.2334423578868037E-2</v>
      </c>
      <c r="M3" s="6">
        <v>0.28822791155237831</v>
      </c>
      <c r="N3" s="6">
        <v>-4.901679194165573E-2</v>
      </c>
      <c r="P3" s="3" t="s">
        <v>21</v>
      </c>
      <c r="Q3" s="3"/>
      <c r="R3" s="3" t="s">
        <v>23</v>
      </c>
      <c r="S3" s="6">
        <v>0.2921449654144409</v>
      </c>
      <c r="T3" s="6"/>
      <c r="U3" s="6"/>
    </row>
    <row r="4" spans="1:21" x14ac:dyDescent="0.35">
      <c r="A4" s="3" t="s">
        <v>7</v>
      </c>
      <c r="B4" s="6">
        <v>6.2334423578868037E-2</v>
      </c>
      <c r="C4" s="6">
        <v>5.4780458158619526E-3</v>
      </c>
      <c r="D4" s="6">
        <v>11.37895258166254</v>
      </c>
      <c r="E4" s="6">
        <v>1.369317414709841E-27</v>
      </c>
      <c r="G4" s="8"/>
      <c r="H4" s="3" t="s">
        <v>22</v>
      </c>
      <c r="I4" s="3"/>
      <c r="J4" s="6"/>
      <c r="K4" s="6">
        <v>0.2921449654144409</v>
      </c>
      <c r="L4" s="6">
        <v>8.318003498613695E-2</v>
      </c>
      <c r="M4" s="6">
        <v>-0.18521358114566841</v>
      </c>
      <c r="N4" s="6">
        <v>-2.2461244729426181E-2</v>
      </c>
      <c r="P4" s="3" t="s">
        <v>21</v>
      </c>
      <c r="Q4" s="3"/>
      <c r="R4" s="3" t="s">
        <v>24</v>
      </c>
      <c r="S4" s="6">
        <v>6.2334423578868037E-2</v>
      </c>
      <c r="T4" s="6"/>
      <c r="U4" s="6"/>
    </row>
    <row r="5" spans="1:21" x14ac:dyDescent="0.35">
      <c r="A5" s="3" t="s">
        <v>10</v>
      </c>
      <c r="B5" s="6">
        <v>0.28822791155237831</v>
      </c>
      <c r="C5" s="6">
        <v>7.1164252326867336E-3</v>
      </c>
      <c r="D5" s="6">
        <v>40.501783146474622</v>
      </c>
      <c r="E5" s="6">
        <v>4.2795381956417299E-212</v>
      </c>
      <c r="G5" s="8"/>
      <c r="H5" s="3" t="s">
        <v>23</v>
      </c>
      <c r="I5" s="3"/>
      <c r="J5" s="6"/>
      <c r="K5" s="6"/>
      <c r="L5" s="6">
        <v>0.83074819815507972</v>
      </c>
      <c r="M5" s="6">
        <v>0.95179658552238833</v>
      </c>
      <c r="N5" s="6">
        <v>0.48864442398132613</v>
      </c>
      <c r="P5" s="3" t="s">
        <v>21</v>
      </c>
      <c r="Q5" s="3"/>
      <c r="R5" s="3" t="s">
        <v>25</v>
      </c>
      <c r="S5" s="6">
        <v>0.28822791155237831</v>
      </c>
      <c r="T5" s="6"/>
      <c r="U5" s="6"/>
    </row>
    <row r="6" spans="1:21" x14ac:dyDescent="0.35">
      <c r="A6" s="3" t="s">
        <v>14</v>
      </c>
      <c r="B6" s="6">
        <v>-4.901679194165573E-2</v>
      </c>
      <c r="C6" s="6">
        <v>1.644439193588999E-2</v>
      </c>
      <c r="D6" s="6">
        <v>-2.980760379146417</v>
      </c>
      <c r="E6" s="6">
        <v>4.7650685635002707E-3</v>
      </c>
      <c r="G6" s="8"/>
      <c r="H6" s="3" t="s">
        <v>24</v>
      </c>
      <c r="I6" s="3"/>
      <c r="J6" s="6"/>
      <c r="K6" s="6"/>
      <c r="L6" s="6"/>
      <c r="M6" s="6">
        <v>-7.1328589635052189E-2</v>
      </c>
      <c r="N6" s="6">
        <v>0.45793019838236992</v>
      </c>
      <c r="P6" s="3" t="s">
        <v>21</v>
      </c>
      <c r="Q6" s="3"/>
      <c r="R6" s="3" t="s">
        <v>26</v>
      </c>
      <c r="S6" s="6">
        <v>-4.901679194165573E-2</v>
      </c>
      <c r="T6" s="6"/>
      <c r="U6" s="6"/>
    </row>
    <row r="7" spans="1:21" x14ac:dyDescent="0.35">
      <c r="A7" s="3" t="s">
        <v>6</v>
      </c>
      <c r="B7" s="6">
        <v>0.2921449654144409</v>
      </c>
      <c r="C7" s="6">
        <v>6.4881655458062879E-3</v>
      </c>
      <c r="D7" s="6">
        <v>45.027359945103854</v>
      </c>
      <c r="E7" s="6">
        <v>8.2385500198365072E-242</v>
      </c>
      <c r="G7" s="8"/>
      <c r="H7" s="3" t="s">
        <v>24</v>
      </c>
      <c r="I7" s="3"/>
      <c r="J7" s="6"/>
      <c r="K7" s="6"/>
      <c r="L7" s="6"/>
      <c r="M7" s="6"/>
      <c r="N7" s="6">
        <v>-4.122725469822261E-2</v>
      </c>
      <c r="P7" s="3" t="s">
        <v>22</v>
      </c>
      <c r="Q7" s="3"/>
      <c r="R7" s="3" t="s">
        <v>23</v>
      </c>
      <c r="S7" s="6">
        <v>0.2921449654144409</v>
      </c>
      <c r="T7" s="6"/>
      <c r="U7" s="6"/>
    </row>
    <row r="8" spans="1:21" x14ac:dyDescent="0.35">
      <c r="A8" s="3" t="s">
        <v>8</v>
      </c>
      <c r="B8" s="6">
        <v>8.318003498613695E-2</v>
      </c>
      <c r="C8" s="6">
        <v>4.0321610432793933E-3</v>
      </c>
      <c r="D8" s="6">
        <v>20.629145039922779</v>
      </c>
      <c r="E8" s="6">
        <v>3.4907997657816639E-78</v>
      </c>
      <c r="G8" s="8"/>
      <c r="H8" s="3" t="s">
        <v>26</v>
      </c>
      <c r="I8" s="3"/>
      <c r="J8" s="3"/>
      <c r="K8" s="3"/>
      <c r="L8" s="3"/>
      <c r="M8" s="3"/>
      <c r="N8" s="3"/>
      <c r="P8" s="3" t="s">
        <v>22</v>
      </c>
      <c r="Q8" s="3"/>
      <c r="R8" s="3" t="s">
        <v>24</v>
      </c>
      <c r="S8" s="6">
        <v>8.318003498613695E-2</v>
      </c>
      <c r="T8" s="6"/>
      <c r="U8" s="6"/>
    </row>
    <row r="9" spans="1:21" x14ac:dyDescent="0.35">
      <c r="A9" s="3" t="s">
        <v>11</v>
      </c>
      <c r="B9" s="6">
        <v>-0.18521358114566841</v>
      </c>
      <c r="C9" s="6">
        <v>1.011493269321851E-2</v>
      </c>
      <c r="D9" s="6">
        <v>-18.310905941059161</v>
      </c>
      <c r="E9" s="6">
        <v>5.735188266633962E-64</v>
      </c>
      <c r="P9" s="3" t="s">
        <v>22</v>
      </c>
      <c r="Q9" s="3"/>
      <c r="R9" s="3" t="s">
        <v>25</v>
      </c>
      <c r="S9" s="6">
        <v>-0.18521358114566841</v>
      </c>
      <c r="T9" s="6"/>
      <c r="U9" s="6"/>
    </row>
    <row r="10" spans="1:21" x14ac:dyDescent="0.35">
      <c r="A10" s="3" t="s">
        <v>15</v>
      </c>
      <c r="B10" s="6">
        <v>-2.2461244729426181E-2</v>
      </c>
      <c r="C10" s="6">
        <v>2.1162473622174161E-2</v>
      </c>
      <c r="D10" s="6">
        <v>-1.0613714223790529</v>
      </c>
      <c r="E10" s="6">
        <v>0.2270262572436319</v>
      </c>
      <c r="P10" s="3" t="s">
        <v>22</v>
      </c>
      <c r="Q10" s="3"/>
      <c r="R10" s="3" t="s">
        <v>26</v>
      </c>
      <c r="S10" s="6">
        <v>-2.2461244729426181E-2</v>
      </c>
      <c r="T10" s="6"/>
      <c r="U10" s="6"/>
    </row>
    <row r="11" spans="1:21" x14ac:dyDescent="0.35">
      <c r="A11" s="3" t="s">
        <v>9</v>
      </c>
      <c r="B11" s="6">
        <v>0.83074819815507972</v>
      </c>
      <c r="C11" s="6">
        <v>6.5624898744894499E-3</v>
      </c>
      <c r="D11" s="6">
        <v>126.5903969443778</v>
      </c>
      <c r="E11" s="6">
        <v>0</v>
      </c>
      <c r="P11" s="3" t="s">
        <v>23</v>
      </c>
      <c r="Q11" s="3"/>
      <c r="R11" s="3" t="s">
        <v>24</v>
      </c>
      <c r="S11" s="6">
        <v>0.83074819815507972</v>
      </c>
      <c r="T11" s="6"/>
      <c r="U11" s="6"/>
    </row>
    <row r="12" spans="1:21" x14ac:dyDescent="0.35">
      <c r="A12" s="3" t="s">
        <v>12</v>
      </c>
      <c r="B12" s="6">
        <v>0.95179658552238833</v>
      </c>
      <c r="C12" s="6">
        <v>6.6102171165019494E-3</v>
      </c>
      <c r="D12" s="6">
        <v>143.9887024506796</v>
      </c>
      <c r="E12" s="6">
        <v>0</v>
      </c>
      <c r="P12" s="3" t="s">
        <v>23</v>
      </c>
      <c r="Q12" s="3"/>
      <c r="R12" s="3" t="s">
        <v>25</v>
      </c>
      <c r="S12" s="6">
        <v>0.95179658552238833</v>
      </c>
      <c r="T12" s="6"/>
      <c r="U12" s="6"/>
    </row>
    <row r="13" spans="1:21" x14ac:dyDescent="0.35">
      <c r="A13" s="3" t="s">
        <v>16</v>
      </c>
      <c r="B13" s="6">
        <v>0.48864442398132613</v>
      </c>
      <c r="C13" s="6">
        <v>3.4119369732549823E-2</v>
      </c>
      <c r="D13" s="6">
        <v>14.321613435759341</v>
      </c>
      <c r="E13" s="6">
        <v>1.123865463764615E-41</v>
      </c>
      <c r="P13" s="3" t="s">
        <v>23</v>
      </c>
      <c r="Q13" s="3"/>
      <c r="R13" s="3" t="s">
        <v>26</v>
      </c>
      <c r="S13" s="6">
        <v>0.48864442398132613</v>
      </c>
      <c r="T13" s="6"/>
      <c r="U13" s="6"/>
    </row>
    <row r="14" spans="1:21" x14ac:dyDescent="0.35">
      <c r="A14" s="3" t="s">
        <v>13</v>
      </c>
      <c r="B14" s="6">
        <v>-7.1328589635052189E-2</v>
      </c>
      <c r="C14" s="6">
        <v>4.7451803489171832E-3</v>
      </c>
      <c r="D14" s="6">
        <v>-15.03179740077295</v>
      </c>
      <c r="E14" s="6">
        <v>2.1061533534815809E-45</v>
      </c>
      <c r="P14" s="3" t="s">
        <v>24</v>
      </c>
      <c r="Q14" s="3"/>
      <c r="R14" s="3" t="s">
        <v>25</v>
      </c>
      <c r="S14" s="6">
        <v>-7.1328589635052189E-2</v>
      </c>
      <c r="T14" s="6"/>
      <c r="U14" s="6"/>
    </row>
    <row r="15" spans="1:21" x14ac:dyDescent="0.35">
      <c r="A15" s="3" t="s">
        <v>17</v>
      </c>
      <c r="B15" s="6">
        <v>0.45793019838236992</v>
      </c>
      <c r="C15" s="6">
        <v>1.991317104703285E-2</v>
      </c>
      <c r="D15" s="6">
        <v>22.996347357273539</v>
      </c>
      <c r="E15" s="6">
        <v>2.2168978674802162E-93</v>
      </c>
      <c r="P15" s="3" t="s">
        <v>24</v>
      </c>
      <c r="Q15" s="3"/>
      <c r="R15" s="3" t="s">
        <v>26</v>
      </c>
      <c r="S15" s="6">
        <v>0.45793019838236992</v>
      </c>
      <c r="T15" s="6"/>
      <c r="U15" s="6"/>
    </row>
    <row r="16" spans="1:21" x14ac:dyDescent="0.35">
      <c r="A16" s="3" t="s">
        <v>18</v>
      </c>
      <c r="B16" s="6">
        <v>-4.122725469822261E-2</v>
      </c>
      <c r="C16" s="6">
        <v>2.4269910063193921E-2</v>
      </c>
      <c r="D16" s="6">
        <v>-1.698698288987277</v>
      </c>
      <c r="E16" s="6">
        <v>9.4293864473933953E-2</v>
      </c>
      <c r="P16" s="3" t="s">
        <v>25</v>
      </c>
      <c r="Q16" s="3"/>
      <c r="R16" s="3" t="s">
        <v>26</v>
      </c>
      <c r="S16" s="6">
        <v>-4.122725469822261E-2</v>
      </c>
      <c r="T16" s="6"/>
      <c r="U16" s="6"/>
    </row>
    <row r="17" spans="16:21" x14ac:dyDescent="0.35">
      <c r="P17" s="3" t="s">
        <v>21</v>
      </c>
      <c r="Q17" s="3" t="s">
        <v>22</v>
      </c>
      <c r="R17" s="3" t="s">
        <v>23</v>
      </c>
      <c r="S17" s="6"/>
      <c r="T17" s="6">
        <f>$S$2*S7</f>
        <v>0.27089559421145781</v>
      </c>
      <c r="U17" s="6">
        <f>S3+T17</f>
        <v>0.56304055962589872</v>
      </c>
    </row>
    <row r="18" spans="16:21" x14ac:dyDescent="0.35">
      <c r="P18" s="3" t="s">
        <v>21</v>
      </c>
      <c r="Q18" s="3" t="s">
        <v>22</v>
      </c>
      <c r="R18" s="3" t="s">
        <v>24</v>
      </c>
      <c r="S18" s="6"/>
      <c r="T18" s="6">
        <f>$S$2*S8</f>
        <v>7.712987616313581E-2</v>
      </c>
      <c r="U18" s="6">
        <f>S4+T18</f>
        <v>0.13946429974200386</v>
      </c>
    </row>
    <row r="19" spans="16:21" x14ac:dyDescent="0.35">
      <c r="P19" s="3" t="s">
        <v>21</v>
      </c>
      <c r="Q19" s="3" t="s">
        <v>22</v>
      </c>
      <c r="R19" s="3" t="s">
        <v>25</v>
      </c>
      <c r="S19" s="6"/>
      <c r="T19" s="6">
        <f>$S$2*S9</f>
        <v>-0.17174193999650489</v>
      </c>
      <c r="U19" s="6">
        <f>S5+T19</f>
        <v>0.11648597155587342</v>
      </c>
    </row>
    <row r="20" spans="16:21" x14ac:dyDescent="0.35">
      <c r="P20" s="3" t="s">
        <v>21</v>
      </c>
      <c r="Q20" s="3" t="s">
        <v>22</v>
      </c>
      <c r="R20" s="3" t="s">
        <v>26</v>
      </c>
      <c r="S20" s="6"/>
      <c r="T20" s="6">
        <f>$S$2*S10</f>
        <v>-2.0827510168026031E-2</v>
      </c>
      <c r="U20" s="6">
        <f>S6+T20</f>
        <v>-6.9844302109681761E-2</v>
      </c>
    </row>
    <row r="21" spans="16:21" x14ac:dyDescent="0.35">
      <c r="P21" s="3" t="s">
        <v>21</v>
      </c>
      <c r="Q21" s="3" t="s">
        <v>23</v>
      </c>
      <c r="R21" s="3" t="s">
        <v>24</v>
      </c>
      <c r="S21" s="6"/>
      <c r="T21" s="6">
        <f>$S$3*S11</f>
        <v>0.24269890361812485</v>
      </c>
      <c r="U21" s="6">
        <f>S4+T21</f>
        <v>0.30503332719699289</v>
      </c>
    </row>
    <row r="22" spans="16:21" x14ac:dyDescent="0.35">
      <c r="P22" s="3" t="s">
        <v>21</v>
      </c>
      <c r="Q22" s="3" t="s">
        <v>23</v>
      </c>
      <c r="R22" s="3" t="s">
        <v>25</v>
      </c>
      <c r="S22" s="6"/>
      <c r="T22" s="6">
        <f>$S$3*S12</f>
        <v>0.27806258055902106</v>
      </c>
      <c r="U22" s="6">
        <f>S5+T22</f>
        <v>0.56629049211139937</v>
      </c>
    </row>
    <row r="23" spans="16:21" x14ac:dyDescent="0.35">
      <c r="P23" s="3" t="s">
        <v>21</v>
      </c>
      <c r="Q23" s="3" t="s">
        <v>23</v>
      </c>
      <c r="R23" s="3" t="s">
        <v>26</v>
      </c>
      <c r="S23" s="6"/>
      <c r="T23" s="6">
        <f>$S$3*S13</f>
        <v>0.14275500834398391</v>
      </c>
      <c r="U23" s="6">
        <f>S6+T23</f>
        <v>9.3738216402328184E-2</v>
      </c>
    </row>
    <row r="24" spans="16:21" x14ac:dyDescent="0.35">
      <c r="P24" s="3" t="s">
        <v>21</v>
      </c>
      <c r="Q24" s="3" t="s">
        <v>24</v>
      </c>
      <c r="R24" s="3" t="s">
        <v>25</v>
      </c>
      <c r="S24" s="6"/>
      <c r="T24" s="6">
        <f>$S$4*S14</f>
        <v>-4.4462265195945993E-3</v>
      </c>
      <c r="U24" s="6">
        <f>S5+T24</f>
        <v>0.28378168503278373</v>
      </c>
    </row>
    <row r="25" spans="16:21" x14ac:dyDescent="0.35">
      <c r="P25" s="3" t="s">
        <v>21</v>
      </c>
      <c r="Q25" s="3" t="s">
        <v>24</v>
      </c>
      <c r="R25" s="3" t="s">
        <v>26</v>
      </c>
      <c r="S25" s="6"/>
      <c r="T25" s="6">
        <f>$S$4*S15</f>
        <v>2.8544814955521719E-2</v>
      </c>
      <c r="U25" s="6">
        <f>S6+T25</f>
        <v>-2.0471976986134011E-2</v>
      </c>
    </row>
    <row r="26" spans="16:21" x14ac:dyDescent="0.35">
      <c r="P26" s="3" t="s">
        <v>21</v>
      </c>
      <c r="Q26" s="3" t="s">
        <v>25</v>
      </c>
      <c r="R26" s="3" t="s">
        <v>26</v>
      </c>
      <c r="S26" s="6"/>
      <c r="T26" s="6">
        <f>S5*S16</f>
        <v>-1.188284552070668E-2</v>
      </c>
      <c r="U26" s="6">
        <f>S6+T26</f>
        <v>-6.0899637462362412E-2</v>
      </c>
    </row>
    <row r="27" spans="16:21" x14ac:dyDescent="0.35">
      <c r="P27" s="3" t="s">
        <v>22</v>
      </c>
      <c r="Q27" s="3" t="s">
        <v>23</v>
      </c>
      <c r="R27" s="3" t="s">
        <v>24</v>
      </c>
      <c r="S27" s="6"/>
      <c r="T27" s="6">
        <f>$S$7*S11</f>
        <v>0.24269890361812485</v>
      </c>
      <c r="U27" s="6">
        <f>S8+T27</f>
        <v>0.32587893860426181</v>
      </c>
    </row>
    <row r="28" spans="16:21" x14ac:dyDescent="0.35">
      <c r="P28" s="3" t="s">
        <v>22</v>
      </c>
      <c r="Q28" s="3" t="s">
        <v>23</v>
      </c>
      <c r="R28" s="3" t="s">
        <v>25</v>
      </c>
      <c r="S28" s="6"/>
      <c r="T28" s="6">
        <f>$S$7*S12</f>
        <v>0.27806258055902106</v>
      </c>
      <c r="U28" s="6">
        <f>S9+T28</f>
        <v>9.2848999413352645E-2</v>
      </c>
    </row>
    <row r="29" spans="16:21" x14ac:dyDescent="0.35">
      <c r="P29" s="3" t="s">
        <v>22</v>
      </c>
      <c r="Q29" s="3" t="s">
        <v>23</v>
      </c>
      <c r="R29" s="3" t="s">
        <v>26</v>
      </c>
      <c r="S29" s="6"/>
      <c r="T29" s="6">
        <f>$S$7*S13</f>
        <v>0.14275500834398391</v>
      </c>
      <c r="U29" s="6">
        <f>S10+T29</f>
        <v>0.12029376361455774</v>
      </c>
    </row>
    <row r="30" spans="16:21" x14ac:dyDescent="0.35">
      <c r="P30" s="3" t="s">
        <v>22</v>
      </c>
      <c r="Q30" s="3" t="s">
        <v>24</v>
      </c>
      <c r="R30" s="3" t="s">
        <v>25</v>
      </c>
      <c r="S30" s="6"/>
      <c r="T30" s="6">
        <f>$S$8*S14</f>
        <v>-5.9331145813554462E-3</v>
      </c>
      <c r="U30" s="6">
        <f>S9+T30</f>
        <v>-0.19114669572702386</v>
      </c>
    </row>
    <row r="31" spans="16:21" x14ac:dyDescent="0.35">
      <c r="P31" s="3" t="s">
        <v>22</v>
      </c>
      <c r="Q31" s="3" t="s">
        <v>24</v>
      </c>
      <c r="R31" s="3" t="s">
        <v>26</v>
      </c>
      <c r="S31" s="6"/>
      <c r="T31" s="6">
        <f>$S$8*S15</f>
        <v>3.8090649922654166E-2</v>
      </c>
      <c r="U31" s="6">
        <f>S10+T31</f>
        <v>1.5629405193227985E-2</v>
      </c>
    </row>
    <row r="32" spans="16:21" x14ac:dyDescent="0.35">
      <c r="P32" s="3" t="s">
        <v>22</v>
      </c>
      <c r="Q32" s="3" t="s">
        <v>25</v>
      </c>
      <c r="R32" s="3" t="s">
        <v>26</v>
      </c>
      <c r="S32" s="6"/>
      <c r="T32" s="6">
        <f>S9*S16</f>
        <v>7.6358474834623928E-3</v>
      </c>
      <c r="U32" s="6">
        <f>S10+T32</f>
        <v>-1.4825397245963788E-2</v>
      </c>
    </row>
    <row r="33" spans="16:21" x14ac:dyDescent="0.35">
      <c r="P33" s="3" t="s">
        <v>23</v>
      </c>
      <c r="Q33" s="3" t="s">
        <v>24</v>
      </c>
      <c r="R33" s="3" t="s">
        <v>25</v>
      </c>
      <c r="S33" s="6"/>
      <c r="T33" s="6">
        <f>S11*S14</f>
        <v>-5.9256097316262704E-2</v>
      </c>
      <c r="U33" s="6">
        <f>S12+T33</f>
        <v>0.89254048820612564</v>
      </c>
    </row>
    <row r="34" spans="16:21" x14ac:dyDescent="0.35">
      <c r="P34" s="3" t="s">
        <v>23</v>
      </c>
      <c r="Q34" s="3" t="s">
        <v>24</v>
      </c>
      <c r="R34" s="3" t="s">
        <v>26</v>
      </c>
      <c r="S34" s="6"/>
      <c r="T34" s="6">
        <f>S11*S15</f>
        <v>0.38042468718695199</v>
      </c>
      <c r="U34" s="6">
        <f>S13+T34</f>
        <v>0.86906911116827812</v>
      </c>
    </row>
    <row r="35" spans="16:21" x14ac:dyDescent="0.35">
      <c r="P35" s="3" t="s">
        <v>23</v>
      </c>
      <c r="Q35" s="3" t="s">
        <v>25</v>
      </c>
      <c r="R35" s="3" t="s">
        <v>26</v>
      </c>
      <c r="S35" s="6"/>
      <c r="T35" s="6">
        <f>S12*S16</f>
        <v>-3.9239960252230123E-2</v>
      </c>
      <c r="U35" s="6">
        <f>S13+T35</f>
        <v>0.44940446372909598</v>
      </c>
    </row>
    <row r="36" spans="16:21" x14ac:dyDescent="0.35">
      <c r="P36" s="3" t="s">
        <v>24</v>
      </c>
      <c r="Q36" s="3" t="s">
        <v>25</v>
      </c>
      <c r="R36" s="3" t="s">
        <v>26</v>
      </c>
      <c r="S36" s="6"/>
      <c r="T36" s="6">
        <f>S14*S16</f>
        <v>2.940681932149298E-3</v>
      </c>
      <c r="U36" s="6">
        <f>S15+T36</f>
        <v>0.46087088031451923</v>
      </c>
    </row>
  </sheetData>
  <mergeCells count="3">
    <mergeCell ref="I1:N1"/>
    <mergeCell ref="G3:G8"/>
    <mergeCell ref="G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BA93-F5A7-489F-A617-C948B778823A}">
  <dimension ref="A1:E19"/>
  <sheetViews>
    <sheetView workbookViewId="0">
      <selection sqref="A1:E19"/>
    </sheetView>
  </sheetViews>
  <sheetFormatPr defaultRowHeight="14.5" x14ac:dyDescent="0.35"/>
  <cols>
    <col min="1" max="1" width="9.7265625" bestFit="1" customWidth="1"/>
    <col min="2" max="2" width="13.08984375" bestFit="1" customWidth="1"/>
    <col min="3" max="3" width="10.26953125" bestFit="1" customWidth="1"/>
    <col min="4" max="4" width="13.36328125" bestFit="1" customWidth="1"/>
  </cols>
  <sheetData>
    <row r="1" spans="1:5" s="1" customFormat="1" x14ac:dyDescent="0.35">
      <c r="A1" s="2" t="s">
        <v>0</v>
      </c>
      <c r="B1" s="2" t="s">
        <v>60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42</v>
      </c>
      <c r="B2" s="6">
        <v>0.85408624728905136</v>
      </c>
      <c r="C2" s="6">
        <v>2.35013896801452E-3</v>
      </c>
      <c r="D2" s="6">
        <v>363.41946536489871</v>
      </c>
      <c r="E2" s="3">
        <v>0</v>
      </c>
    </row>
    <row r="3" spans="1:5" x14ac:dyDescent="0.35">
      <c r="A3" s="3" t="s">
        <v>43</v>
      </c>
      <c r="B3" s="6">
        <v>0.97443674661775626</v>
      </c>
      <c r="C3" s="6">
        <v>9.5216486809937052E-4</v>
      </c>
      <c r="D3" s="6">
        <v>1023.390779543088</v>
      </c>
      <c r="E3" s="3">
        <v>0</v>
      </c>
    </row>
    <row r="4" spans="1:5" x14ac:dyDescent="0.35">
      <c r="A4" s="3" t="s">
        <v>44</v>
      </c>
      <c r="B4" s="6">
        <v>0.56132192821674298</v>
      </c>
      <c r="C4" s="6">
        <v>2.5175955471062861E-3</v>
      </c>
      <c r="D4" s="6">
        <v>222.95953329831869</v>
      </c>
      <c r="E4" s="3">
        <v>0</v>
      </c>
    </row>
    <row r="5" spans="1:5" x14ac:dyDescent="0.35">
      <c r="A5" s="3" t="s">
        <v>45</v>
      </c>
      <c r="B5" s="6">
        <v>-0.61824943369707575</v>
      </c>
      <c r="C5" s="6">
        <v>2.7254058457869329E-3</v>
      </c>
      <c r="D5" s="6">
        <v>-226.84674088183829</v>
      </c>
      <c r="E5" s="3">
        <v>0</v>
      </c>
    </row>
    <row r="6" spans="1:5" x14ac:dyDescent="0.35">
      <c r="A6" s="3" t="s">
        <v>46</v>
      </c>
      <c r="B6" s="6">
        <v>0.6484666399883301</v>
      </c>
      <c r="C6" s="6">
        <v>1.9824057322892778E-3</v>
      </c>
      <c r="D6" s="6">
        <v>327.11095888503212</v>
      </c>
      <c r="E6" s="3">
        <v>0</v>
      </c>
    </row>
    <row r="7" spans="1:5" x14ac:dyDescent="0.35">
      <c r="A7" s="3" t="s">
        <v>47</v>
      </c>
      <c r="B7" s="6">
        <v>0.94715226972904965</v>
      </c>
      <c r="C7" s="6">
        <v>2.034934641419493E-3</v>
      </c>
      <c r="D7" s="6">
        <v>465.44603961744542</v>
      </c>
      <c r="E7" s="3">
        <v>0</v>
      </c>
    </row>
    <row r="8" spans="1:5" x14ac:dyDescent="0.35">
      <c r="A8" s="3" t="s">
        <v>48</v>
      </c>
      <c r="B8" s="6">
        <v>0.99328208874973234</v>
      </c>
      <c r="C8" s="6">
        <v>1.4637955362717761E-4</v>
      </c>
      <c r="D8" s="6">
        <v>6785.6614133390449</v>
      </c>
      <c r="E8" s="3">
        <v>0</v>
      </c>
    </row>
    <row r="9" spans="1:5" x14ac:dyDescent="0.35">
      <c r="A9" s="3" t="s">
        <v>49</v>
      </c>
      <c r="B9" s="6">
        <v>0.43986435481876512</v>
      </c>
      <c r="C9" s="6">
        <v>2.2773288488999758E-3</v>
      </c>
      <c r="D9" s="6">
        <v>193.14924809003051</v>
      </c>
      <c r="E9" s="3">
        <v>0</v>
      </c>
    </row>
    <row r="10" spans="1:5" x14ac:dyDescent="0.35">
      <c r="A10" s="3" t="s">
        <v>50</v>
      </c>
      <c r="B10" s="6">
        <v>-0.64333985969620511</v>
      </c>
      <c r="C10" s="6">
        <v>2.564251320731068E-3</v>
      </c>
      <c r="D10" s="6">
        <v>-250.8879899934258</v>
      </c>
      <c r="E10" s="3">
        <v>0</v>
      </c>
    </row>
    <row r="11" spans="1:5" x14ac:dyDescent="0.35">
      <c r="A11" s="3" t="s">
        <v>51</v>
      </c>
      <c r="B11" s="6">
        <v>0.99622354965444349</v>
      </c>
      <c r="C11" s="6">
        <v>1.038590390294644E-4</v>
      </c>
      <c r="D11" s="6">
        <v>9592.0736313747184</v>
      </c>
      <c r="E11" s="3">
        <v>0</v>
      </c>
    </row>
    <row r="12" spans="1:5" x14ac:dyDescent="0.35">
      <c r="A12" s="3" t="s">
        <v>52</v>
      </c>
      <c r="B12" s="6">
        <v>0.84288713129014525</v>
      </c>
      <c r="C12" s="6">
        <v>4.2563420038873893E-3</v>
      </c>
      <c r="D12" s="6">
        <v>198.03087499085419</v>
      </c>
      <c r="E12" s="3">
        <v>0</v>
      </c>
    </row>
    <row r="13" spans="1:5" x14ac:dyDescent="0.35">
      <c r="A13" s="3" t="s">
        <v>53</v>
      </c>
      <c r="B13" s="6">
        <v>0.74431390171604883</v>
      </c>
      <c r="C13" s="6">
        <v>5.6989488457405016E-3</v>
      </c>
      <c r="D13" s="6">
        <v>130.60547161646531</v>
      </c>
      <c r="E13" s="3">
        <v>0</v>
      </c>
    </row>
    <row r="14" spans="1:5" x14ac:dyDescent="0.35">
      <c r="A14" s="3" t="s">
        <v>54</v>
      </c>
      <c r="B14" s="6">
        <v>0.99569990313748413</v>
      </c>
      <c r="C14" s="6">
        <v>1.999836250842429E-4</v>
      </c>
      <c r="D14" s="6">
        <v>4978.9071616140891</v>
      </c>
      <c r="E14" s="3">
        <v>0</v>
      </c>
    </row>
    <row r="15" spans="1:5" x14ac:dyDescent="0.35">
      <c r="A15" s="3" t="s">
        <v>55</v>
      </c>
      <c r="B15" s="6">
        <v>0.55249290581899724</v>
      </c>
      <c r="C15" s="6">
        <v>2.0132320743639211E-3</v>
      </c>
      <c r="D15" s="6">
        <v>274.43080847674099</v>
      </c>
      <c r="E15" s="3">
        <v>0</v>
      </c>
    </row>
    <row r="16" spans="1:5" x14ac:dyDescent="0.35">
      <c r="A16" s="3" t="s">
        <v>56</v>
      </c>
      <c r="B16" s="6">
        <v>0.85271108780792759</v>
      </c>
      <c r="C16" s="6">
        <v>1.010503284421865E-3</v>
      </c>
      <c r="D16" s="6">
        <v>843.84791316713552</v>
      </c>
      <c r="E16" s="3">
        <v>0</v>
      </c>
    </row>
    <row r="17" spans="1:5" x14ac:dyDescent="0.35">
      <c r="A17" s="3" t="s">
        <v>57</v>
      </c>
      <c r="B17" s="6">
        <v>0.68905173061461533</v>
      </c>
      <c r="C17" s="6">
        <v>7.3298652877037867E-3</v>
      </c>
      <c r="D17" s="6">
        <v>94.006056532926166</v>
      </c>
      <c r="E17" s="3">
        <v>0</v>
      </c>
    </row>
    <row r="18" spans="1:5" x14ac:dyDescent="0.35">
      <c r="A18" s="3" t="s">
        <v>58</v>
      </c>
      <c r="B18" s="6">
        <v>0.45169698137444608</v>
      </c>
      <c r="C18" s="6">
        <v>3.1274988303633729E-3</v>
      </c>
      <c r="D18" s="6">
        <v>144.42754605985419</v>
      </c>
      <c r="E18" s="3">
        <v>0</v>
      </c>
    </row>
    <row r="19" spans="1:5" x14ac:dyDescent="0.35">
      <c r="A19" s="3" t="s">
        <v>59</v>
      </c>
      <c r="B19" s="6">
        <v>-0.89115720026728606</v>
      </c>
      <c r="C19" s="6">
        <v>1.5207082697219221E-3</v>
      </c>
      <c r="D19" s="6">
        <v>-586.01456834994622</v>
      </c>
      <c r="E1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B42D-BAB7-4E71-A7F9-2F7CC62B0756}">
  <dimension ref="A1:E19"/>
  <sheetViews>
    <sheetView topLeftCell="A3" workbookViewId="0">
      <selection sqref="A1:E19"/>
    </sheetView>
  </sheetViews>
  <sheetFormatPr defaultRowHeight="14.5" x14ac:dyDescent="0.35"/>
  <cols>
    <col min="1" max="1" width="9.7265625" bestFit="1" customWidth="1"/>
    <col min="2" max="2" width="12.453125" bestFit="1" customWidth="1"/>
    <col min="3" max="3" width="11.81640625" bestFit="1" customWidth="1"/>
    <col min="4" max="4" width="12.453125" bestFit="1" customWidth="1"/>
    <col min="5" max="5" width="11.81640625" bestFit="1" customWidth="1"/>
  </cols>
  <sheetData>
    <row r="1" spans="1:5" s="1" customFormat="1" x14ac:dyDescent="0.35">
      <c r="A1" s="2" t="s">
        <v>0</v>
      </c>
      <c r="B1" s="2" t="s">
        <v>41</v>
      </c>
      <c r="C1" s="2" t="s">
        <v>1</v>
      </c>
      <c r="D1" s="2" t="s">
        <v>2</v>
      </c>
      <c r="E1" s="2" t="s">
        <v>3</v>
      </c>
    </row>
    <row r="2" spans="1:5" x14ac:dyDescent="0.35">
      <c r="A2" s="3" t="s">
        <v>42</v>
      </c>
      <c r="B2" s="6">
        <v>-0.36244124054159549</v>
      </c>
      <c r="C2" s="6">
        <v>6.0458081549936947E-3</v>
      </c>
      <c r="D2" s="6">
        <v>-59.949179869729683</v>
      </c>
      <c r="E2" s="6">
        <v>0</v>
      </c>
    </row>
    <row r="3" spans="1:5" x14ac:dyDescent="0.35">
      <c r="A3" s="3" t="s">
        <v>43</v>
      </c>
      <c r="B3" s="6">
        <v>1.21467438815519</v>
      </c>
      <c r="C3" s="6">
        <v>4.5869671621023454E-3</v>
      </c>
      <c r="D3" s="6">
        <v>264.80991583956921</v>
      </c>
      <c r="E3" s="6">
        <v>0</v>
      </c>
    </row>
    <row r="4" spans="1:5" x14ac:dyDescent="0.35">
      <c r="A4" s="3" t="s">
        <v>44</v>
      </c>
      <c r="B4" s="6">
        <v>0.196287191847315</v>
      </c>
      <c r="C4" s="6">
        <v>3.5560685679027612E-3</v>
      </c>
      <c r="D4" s="6">
        <v>55.197808506566012</v>
      </c>
      <c r="E4" s="6">
        <v>7.6110465790649654E-305</v>
      </c>
    </row>
    <row r="5" spans="1:5" x14ac:dyDescent="0.35">
      <c r="A5" s="3" t="s">
        <v>45</v>
      </c>
      <c r="B5" s="6">
        <v>-0.24805691221194401</v>
      </c>
      <c r="C5" s="6">
        <v>2.9665943574252352E-3</v>
      </c>
      <c r="D5" s="6">
        <v>-83.616727575534625</v>
      </c>
      <c r="E5" s="6">
        <v>0</v>
      </c>
    </row>
    <row r="6" spans="1:5" x14ac:dyDescent="0.35">
      <c r="A6" s="3" t="s">
        <v>46</v>
      </c>
      <c r="B6" s="6">
        <v>0.1774456841675108</v>
      </c>
      <c r="C6" s="6">
        <v>3.7012389013100478E-3</v>
      </c>
      <c r="D6" s="6">
        <v>47.942240125246762</v>
      </c>
      <c r="E6" s="6">
        <v>1.967359045865768E-260</v>
      </c>
    </row>
    <row r="7" spans="1:5" x14ac:dyDescent="0.35">
      <c r="A7" s="3" t="s">
        <v>47</v>
      </c>
      <c r="B7" s="6">
        <v>0.76734820570816609</v>
      </c>
      <c r="C7" s="6">
        <v>2.4824047307975931E-3</v>
      </c>
      <c r="D7" s="6">
        <v>309.11486599593218</v>
      </c>
      <c r="E7" s="6">
        <v>0</v>
      </c>
    </row>
    <row r="8" spans="1:5" x14ac:dyDescent="0.35">
      <c r="A8" s="3" t="s">
        <v>48</v>
      </c>
      <c r="B8" s="6">
        <v>1.0772032462992001</v>
      </c>
      <c r="C8" s="6">
        <v>1.712243949499999E-3</v>
      </c>
      <c r="D8" s="6">
        <v>629.11785824313165</v>
      </c>
      <c r="E8" s="6">
        <v>0</v>
      </c>
    </row>
    <row r="9" spans="1:5" x14ac:dyDescent="0.35">
      <c r="A9" s="3" t="s">
        <v>49</v>
      </c>
      <c r="B9" s="6">
        <v>-7.1966429395132078E-2</v>
      </c>
      <c r="C9" s="6">
        <v>1.8078998056729511E-3</v>
      </c>
      <c r="D9" s="6">
        <v>-39.806647010697667</v>
      </c>
      <c r="E9" s="6">
        <v>1.8771578055396131E-207</v>
      </c>
    </row>
    <row r="10" spans="1:5" x14ac:dyDescent="0.35">
      <c r="A10" s="3" t="s">
        <v>50</v>
      </c>
      <c r="B10" s="6">
        <v>7.0678845663119813E-2</v>
      </c>
      <c r="C10" s="6">
        <v>2.2451988971100801E-3</v>
      </c>
      <c r="D10" s="6">
        <v>31.479993043865498</v>
      </c>
      <c r="E10" s="6">
        <v>9.0803508351732668E-151</v>
      </c>
    </row>
    <row r="11" spans="1:5" x14ac:dyDescent="0.35">
      <c r="A11" s="3" t="s">
        <v>51</v>
      </c>
      <c r="B11" s="6">
        <v>0.98604840169121488</v>
      </c>
      <c r="C11" s="6">
        <v>3.7261801572760242E-3</v>
      </c>
      <c r="D11" s="6">
        <v>264.62714095178183</v>
      </c>
      <c r="E11" s="6">
        <v>0</v>
      </c>
    </row>
    <row r="12" spans="1:5" x14ac:dyDescent="0.35">
      <c r="A12" s="3" t="s">
        <v>52</v>
      </c>
      <c r="B12" s="6">
        <v>7.6846447904843754E-2</v>
      </c>
      <c r="C12" s="6">
        <v>3.0724551008688419E-3</v>
      </c>
      <c r="D12" s="6">
        <v>25.011414449347939</v>
      </c>
      <c r="E12" s="6">
        <v>1.033277470824679E-106</v>
      </c>
    </row>
    <row r="13" spans="1:5" x14ac:dyDescent="0.35">
      <c r="A13" s="3" t="s">
        <v>53</v>
      </c>
      <c r="B13" s="6">
        <v>-7.6645298030636078E-2</v>
      </c>
      <c r="C13" s="6">
        <v>2.326731007965102E-3</v>
      </c>
      <c r="D13" s="6">
        <v>-32.94119421981145</v>
      </c>
      <c r="E13" s="6">
        <v>8.3550231612145342E-161</v>
      </c>
    </row>
    <row r="14" spans="1:5" x14ac:dyDescent="0.35">
      <c r="A14" s="3" t="s">
        <v>54</v>
      </c>
      <c r="B14" s="6">
        <v>0.96459136186995997</v>
      </c>
      <c r="C14" s="6">
        <v>3.6111777708682301E-3</v>
      </c>
      <c r="D14" s="6">
        <v>267.11267710258551</v>
      </c>
      <c r="E14" s="6">
        <v>0</v>
      </c>
    </row>
    <row r="15" spans="1:5" x14ac:dyDescent="0.35">
      <c r="A15" s="3" t="s">
        <v>55</v>
      </c>
      <c r="B15" s="6">
        <v>-7.2998242779339112E-2</v>
      </c>
      <c r="C15" s="6">
        <v>3.0536983218348219E-3</v>
      </c>
      <c r="D15" s="6">
        <v>-23.904863901381699</v>
      </c>
      <c r="E15" s="6">
        <v>2.3578874936413752E-99</v>
      </c>
    </row>
    <row r="16" spans="1:5" x14ac:dyDescent="0.35">
      <c r="A16" s="3" t="s">
        <v>56</v>
      </c>
      <c r="B16" s="6">
        <v>8.484064522866698E-2</v>
      </c>
      <c r="C16" s="6">
        <v>5.6576570223722464E-3</v>
      </c>
      <c r="D16" s="6">
        <v>14.995720824570849</v>
      </c>
      <c r="E16" s="6">
        <v>3.2780027988404898E-45</v>
      </c>
    </row>
    <row r="17" spans="1:5" x14ac:dyDescent="0.35">
      <c r="A17" s="3" t="s">
        <v>57</v>
      </c>
      <c r="B17" s="6">
        <v>0.46935998231647058</v>
      </c>
      <c r="C17" s="6">
        <v>6.80322333740276E-3</v>
      </c>
      <c r="D17" s="6">
        <v>68.990823766731779</v>
      </c>
      <c r="E17" s="6">
        <v>0</v>
      </c>
    </row>
    <row r="18" spans="1:5" x14ac:dyDescent="0.35">
      <c r="A18" s="3" t="s">
        <v>58</v>
      </c>
      <c r="B18" s="6">
        <v>-0.1020230746947456</v>
      </c>
      <c r="C18" s="6">
        <v>4.1770421112021653E-3</v>
      </c>
      <c r="D18" s="6">
        <v>-24.42471777364559</v>
      </c>
      <c r="E18" s="6">
        <v>8.4342163980526852E-103</v>
      </c>
    </row>
    <row r="19" spans="1:5" x14ac:dyDescent="0.35">
      <c r="A19" s="3" t="s">
        <v>59</v>
      </c>
      <c r="B19" s="6">
        <v>-0.49977405401231628</v>
      </c>
      <c r="C19" s="6">
        <v>1.757880829030076E-2</v>
      </c>
      <c r="D19" s="6">
        <v>-28.430485489057322</v>
      </c>
      <c r="E19" s="6">
        <v>7.4015335039200204E-130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8B7E6-55DB-4686-ACE2-B932A2039C6A}">
  <dimension ref="A1:C6"/>
  <sheetViews>
    <sheetView tabSelected="1" workbookViewId="0">
      <selection sqref="A1:C6"/>
    </sheetView>
  </sheetViews>
  <sheetFormatPr defaultRowHeight="14.5" x14ac:dyDescent="0.35"/>
  <cols>
    <col min="1" max="1" width="25.81640625" bestFit="1" customWidth="1"/>
    <col min="2" max="2" width="11.90625" bestFit="1" customWidth="1"/>
    <col min="3" max="3" width="10.26953125" bestFit="1" customWidth="1"/>
  </cols>
  <sheetData>
    <row r="1" spans="1:3" s="1" customFormat="1" x14ac:dyDescent="0.35">
      <c r="A1" s="2" t="s">
        <v>33</v>
      </c>
      <c r="B1" s="2" t="s">
        <v>34</v>
      </c>
      <c r="C1" s="2" t="s">
        <v>35</v>
      </c>
    </row>
    <row r="2" spans="1:3" x14ac:dyDescent="0.35">
      <c r="A2" s="3" t="s">
        <v>36</v>
      </c>
      <c r="B2" s="6">
        <v>0.65065382378848513</v>
      </c>
      <c r="C2" s="10">
        <f>1-((1-B2)*(1-B3)*(1-B4)*(1-B5)*(1-B6))</f>
        <v>0.99981553640597143</v>
      </c>
    </row>
    <row r="3" spans="1:3" x14ac:dyDescent="0.35">
      <c r="A3" s="3" t="s">
        <v>37</v>
      </c>
      <c r="B3" s="6">
        <v>0.78320127419630303</v>
      </c>
      <c r="C3" s="10"/>
    </row>
    <row r="4" spans="1:3" x14ac:dyDescent="0.35">
      <c r="A4" s="3" t="s">
        <v>38</v>
      </c>
      <c r="B4" s="6">
        <v>0.83148840377814026</v>
      </c>
      <c r="C4" s="10"/>
    </row>
    <row r="5" spans="1:3" x14ac:dyDescent="0.35">
      <c r="A5" s="3" t="s">
        <v>39</v>
      </c>
      <c r="B5" s="6">
        <v>0.962167831320627</v>
      </c>
      <c r="C5" s="10"/>
    </row>
    <row r="6" spans="1:3" x14ac:dyDescent="0.35">
      <c r="A6" s="3" t="s">
        <v>40</v>
      </c>
      <c r="B6" s="6">
        <v>0.61796168861897349</v>
      </c>
      <c r="C6" s="10"/>
    </row>
  </sheetData>
  <mergeCells count="1">
    <mergeCell ref="C2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Coef</vt:lpstr>
      <vt:lpstr>Loading</vt:lpstr>
      <vt:lpstr>Weight</vt:lpstr>
      <vt:lpstr>R and Q 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2024-07-05T02:36:03Z</dcterms:created>
  <dcterms:modified xsi:type="dcterms:W3CDTF">2024-07-06T03:05:10Z</dcterms:modified>
</cp:coreProperties>
</file>